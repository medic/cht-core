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452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-245</xdr:colOff>
                <xdr:row>13</xdr:row>
                <xdr:rowOff>14</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-234</xdr:colOff>
                <xdr:row>13</xdr:row>
                <xdr:rowOff>14</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-124</xdr:colOff>
                <xdr:row>13</xdr:row>
                <xdr:rowOff>14</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-86</xdr:colOff>
                <xdr:row>13</xdr:row>
                <xdr:rowOff>14</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219</xdr:colOff>
                <xdr:row>0</xdr:row>
                <xdr:rowOff>14</xdr:rowOff>
              </xdr:from>
              <xdr:to>
                <xdr:col>8</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8</xdr:row>
                <xdr:rowOff>19</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16</xdr:col>
                <xdr:colOff>66</xdr:colOff>
                <xdr:row>4</xdr:row>
                <xdr:rowOff>16</xdr:rowOff>
              </xdr:to>
            </anchor>
          </commentPr>
        </mc:Choice>
        <mc:Fallback/>
      </mc:AlternateContent>
    </comment>
    <comment ref="P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17</xdr:col>
                <xdr:colOff>16</xdr:colOff>
                <xdr:row>4</xdr:row>
                <xdr:rowOff>16</xdr:rowOff>
              </xdr:to>
            </anchor>
          </commentPr>
        </mc:Choice>
        <mc:Fallback/>
      </mc:AlternateContent>
    </comment>
    <comment ref="Q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18</xdr:col>
                <xdr:colOff>66</xdr:colOff>
                <xdr:row>4</xdr:row>
                <xdr:rowOff>16</xdr:rowOff>
              </xdr:to>
            </anchor>
          </commentPr>
        </mc:Choice>
        <mc:Fallback/>
      </mc:AlternateContent>
    </comment>
    <comment ref="R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22</xdr:col>
                <xdr:colOff>45</xdr:colOff>
                <xdr:row>4</xdr:row>
                <xdr:rowOff>16</xdr:rowOff>
              </xdr:to>
            </anchor>
          </commentPr>
        </mc:Choice>
        <mc:Fallback/>
      </mc:AlternateContent>
    </comment>
    <comment ref="T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59</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-122</xdr:colOff>
                <xdr:row>4</xdr:row>
                <xdr:rowOff>16</xdr:rowOff>
              </xdr:to>
            </anchor>
          </commentPr>
        </mc:Choice>
        <mc:Fallback/>
      </mc:AlternateContent>
    </comment>
  </commentList>
</comments>
</file>

<file path=xl/sharedStrings.xml><?xml version="1.0" encoding="utf-8"?>
<sst xmlns="http://schemas.openxmlformats.org/spreadsheetml/2006/main" count="514" uniqueCount="368">
  <si>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</si>
  <si>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</si>
  <si>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</si>
  <si>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</si>
  <si>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</si>
  <si>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</si>
  <si>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</si>
  <si>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</si>
  <si>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</si>
  <si>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</si>
  <si>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</si>
  <si>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</si>
  <si>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</si>
  <si>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constraint</t>
  </si>
  <si>
    <t xml:space="preserve">constraint_message::en</t>
  </si>
  <si>
    <t xml:space="preserve">constraint_message::hi</t>
  </si>
  <si>
    <t xml:space="preserve">constraint_message::fr</t>
  </si>
  <si>
    <t xml:space="preserve">calculation</t>
  </si>
  <si>
    <t xml:space="preserve">hint::en</t>
  </si>
  <si>
    <t xml:space="preserve">default</t>
  </si>
  <si>
    <t xml:space="preserve">note</t>
  </si>
  <si>
    <t xml:space="preserve">begin_group</t>
  </si>
  <si>
    <t xml:space="preserve">inputs</t>
  </si>
  <si>
    <t xml:space="preserve">user</t>
  </si>
  <si>
    <t xml:space="preserve">text</t>
  </si>
  <si>
    <t xml:space="preserve">contact_id</t>
  </si>
  <si>
    <t xml:space="preserve">Contact ID of the logged in user</t>
  </si>
  <si>
    <t xml:space="preserve">Mawasiliano ya mtumizi</t>
  </si>
  <si>
    <t xml:space="preserve">लग इन गरेको प्रयोगकर्ताको सम्पर्क ID</t>
  </si>
  <si>
    <t xml:space="preserve">Identifiant de l'utilisateur</t>
  </si>
  <si>
    <t xml:space="preserve">facility_id</t>
  </si>
  <si>
    <t xml:space="preserve">Place ID of the logged in user</t>
  </si>
  <si>
    <t xml:space="preserve">लॉग इन यूज़र के स्थान का ID</t>
  </si>
  <si>
    <t xml:space="preserve">ID Tempat dari login user</t>
  </si>
  <si>
    <t xml:space="preserve">Mahali ya kitambulisho ya Mtumizi</t>
  </si>
  <si>
    <t xml:space="preserve">लग इन गरेको प्रयोगकर्ताको स्थानको ID</t>
  </si>
  <si>
    <t xml:space="preserve">Identifiant du centre</t>
  </si>
  <si>
    <t xml:space="preserve">Name of the logged in user</t>
  </si>
  <si>
    <t xml:space="preserve">लॉग इन यूज़र का नाम</t>
  </si>
  <si>
    <t xml:space="preserve">Nama dari login user</t>
  </si>
  <si>
    <t xml:space="preserve">Jina la mtumizi</t>
  </si>
  <si>
    <t xml:space="preserve">लग इन गरेको प्रयोगकर्ताको नाम</t>
  </si>
  <si>
    <t xml:space="preserve">Nom</t>
  </si>
  <si>
    <t xml:space="preserve">end_group</t>
  </si>
  <si>
    <t xml:space="preserve">init</t>
  </si>
  <si>
    <t xml:space="preserve">field-list</t>
  </si>
  <si>
    <t xml:space="preserve">Cannot be inside the person group without having all fields saved to person. And needs separate db-objects because cannot have one that handles the different place types</t>
  </si>
  <si>
    <t xml:space="preserve">calculate</t>
  </si>
  <si>
    <t xml:space="preserve">person_name</t>
  </si>
  <si>
    <t xml:space="preserve">../../person/name</t>
  </si>
  <si>
    <t xml:space="preserve">Copy to access from within note</t>
  </si>
  <si>
    <t xml:space="preserve">person_place_name</t>
  </si>
  <si>
    <t xml:space="preserve">../name</t>
  </si>
  <si>
    <t xml:space="preserve">person_parent</t>
  </si>
  <si>
    <t xml:space="preserve">Current place</t>
  </si>
  <si>
    <t xml:space="preserve">Place actuelle</t>
  </si>
  <si>
    <t xml:space="preserve">select-contact hidden</t>
  </si>
  <si>
    <t xml:space="preserve">true</t>
  </si>
  <si>
    <t xml:space="preserve">${parent}</t>
  </si>
  <si>
    <t xml:space="preserve">NO_LABEL</t>
  </si>
  <si>
    <t xml:space="preserve">hidden</t>
  </si>
  <si>
    <t xml:space="preserve">Indirection required to be able to change the db field accordingly</t>
  </si>
  <si>
    <t xml:space="preserve">note_place</t>
  </si>
  <si>
    <t xml:space="preserve">${person_name}&amp;nbsp;currently belongs to **${person_place_name}**</t>
  </si>
  <si>
    <t xml:space="preserve">${person_name}&amp;nbsp;अब **${person_place_name}** में है</t>
  </si>
  <si>
    <t xml:space="preserve">${person_name}&amp;nbsp;milik **${person_place_name}**</t>
  </si>
  <si>
    <t xml:space="preserve">${person_name}&amp;nbsp;Ni wa **${person_place_name}**</t>
  </si>
  <si>
    <t xml:space="preserve">${person_name}&amp;nbsp; हाल यो  **${person_place_name}**सँग छ</t>
  </si>
  <si>
    <t xml:space="preserve">${person_name}&amp;nbsp;appartient à **${person_place_name}**</t>
  </si>
  <si>
    <t xml:space="preserve">select_one yes_no</t>
  </si>
  <si>
    <t xml:space="preserve">change_parent</t>
  </si>
  <si>
    <t xml:space="preserve">Would you like to move them to another place?</t>
  </si>
  <si>
    <t xml:space="preserve">क्या आप इस व्यक्ति को दूसरे स्थान पर ले जाना चाहेंगे?</t>
  </si>
  <si>
    <t xml:space="preserve">Apakah Anda ingin memindahkan mereka ke tempat lain?</t>
  </si>
  <si>
    <t xml:space="preserve">Ungependa kuwahamisha mahali pengine?</t>
  </si>
  <si>
    <t xml:space="preserve">के तपाई यस व्यक्तिलाई कुनै अन्य स्थानमा लैजान चाहनुहुन्छ?</t>
  </si>
  <si>
    <t xml:space="preserve">Voulez-vous déplacer cette personne vers une autre place ?</t>
  </si>
  <si>
    <t xml:space="preserve">yes</t>
  </si>
  <si>
    <t xml:space="preserve">columns-pack</t>
  </si>
  <si>
    <t xml:space="preserve">false</t>
  </si>
  <si>
    <t xml:space="preserve">select_one place_type</t>
  </si>
  <si>
    <t xml:space="preserve">edited_place_type</t>
  </si>
  <si>
    <t xml:space="preserve">Search for place by</t>
  </si>
  <si>
    <t xml:space="preserve">जगह की खोज</t>
  </si>
  <si>
    <t xml:space="preserve">Cari tempat oleh</t>
  </si>
  <si>
    <t xml:space="preserve">Tafuta mahali kwa</t>
  </si>
  <si>
    <t xml:space="preserve">स्थान को खोजी</t>
  </si>
  <si>
    <t xml:space="preserve">Rechercher par type de place</t>
  </si>
  <si>
    <t xml:space="preserve">selected(${change_parent}, 'true')</t>
  </si>
  <si>
    <t xml:space="preserve">id_district_hospital</t>
  </si>
  <si>
    <t xml:space="preserve">Select health facillity</t>
  </si>
  <si>
    <t xml:space="preserve">जिला अस्पताल चुनें</t>
  </si>
  <si>
    <t xml:space="preserve">Pilih Rumah Sakit kabupaten</t>
  </si>
  <si>
    <t xml:space="preserve">Chagua hospitali ya wilaya</t>
  </si>
  <si>
    <t xml:space="preserve">जिल्ला अस्पताल रोज्नुहोस्</t>
  </si>
  <si>
    <t xml:space="preserve">Choisissez le district</t>
  </si>
  <si>
    <t xml:space="preserve">selected(${change_parent}, 'true') and selected(${edited_place_type}, 'district_hospital')</t>
  </si>
  <si>
    <t xml:space="preserve">select-contact type-district_hospital bind-id-only</t>
  </si>
  <si>
    <t xml:space="preserve">District Hospital</t>
  </si>
  <si>
    <t xml:space="preserve">id_health_center</t>
  </si>
  <si>
    <t xml:space="preserve">Select area</t>
  </si>
  <si>
    <t xml:space="preserve">स्वास्थ्य केंद्र चुनें</t>
  </si>
  <si>
    <t xml:space="preserve">Pilih Fasilitas Kesehatan</t>
  </si>
  <si>
    <t xml:space="preserve">Chagua kituo cha afya</t>
  </si>
  <si>
    <t xml:space="preserve">स्वास्थ्य संस्था रोज्नुहोस्</t>
  </si>
  <si>
    <t xml:space="preserve">Choisissez le centre de santé</t>
  </si>
  <si>
    <t xml:space="preserve">selected(${change_parent}, 'true') and selected(${edited_place_type}, 'health_center')</t>
  </si>
  <si>
    <t xml:space="preserve">select-contact type-health_center bind-id-only</t>
  </si>
  <si>
    <t xml:space="preserve">Health Center</t>
  </si>
  <si>
    <t xml:space="preserve">id_clinic</t>
  </si>
  <si>
    <t xml:space="preserve">Select household</t>
  </si>
  <si>
    <t xml:space="preserve">अस्पताल चुनें</t>
  </si>
  <si>
    <t xml:space="preserve">Pilih Klinik</t>
  </si>
  <si>
    <t xml:space="preserve">Chagua kliniki</t>
  </si>
  <si>
    <t xml:space="preserve">क्लिनिक रोज्नुहोस्</t>
  </si>
  <si>
    <t xml:space="preserve">Choisissez la zone</t>
  </si>
  <si>
    <t xml:space="preserve">selected(${change_parent}, 'true') and selected(${edited_place_type}, 'clinic')</t>
  </si>
  <si>
    <t xml:space="preserve">select-contact type-clinic bind-id-only</t>
  </si>
  <si>
    <t xml:space="preserve">Clinic</t>
  </si>
  <si>
    <t xml:space="preserve">person</t>
  </si>
  <si>
    <t xml:space="preserve">Edit person</t>
  </si>
  <si>
    <t xml:space="preserve">व्यक्ति बदलें</t>
  </si>
  <si>
    <t xml:space="preserve">Mengedit Orang</t>
  </si>
  <si>
    <t xml:space="preserve">Badilisha maelezo ya mtu</t>
  </si>
  <si>
    <t xml:space="preserve">ब्यक्ति सम्पादन </t>
  </si>
  <si>
    <t xml:space="preserve">Modifier personne</t>
  </si>
  <si>
    <t xml:space="preserve">Upload script will move group to just beneath inputs in data model. Otherwise person is not properly created.</t>
  </si>
  <si>
    <t xml:space="preserve">parent</t>
  </si>
  <si>
    <t xml:space="preserve">coalesce(coalesce(coalesce(${id_district_hospital}, ${id_health_center}), ${id_clinic}),${parent})</t>
  </si>
  <si>
    <t xml:space="preserve">_id</t>
  </si>
  <si>
    <t xml:space="preserve">Cannot change</t>
  </si>
  <si>
    <t xml:space="preserve">first_name</t>
  </si>
  <si>
    <t xml:space="preserve">First name</t>
  </si>
  <si>
    <t xml:space="preserve">last_name</t>
  </si>
  <si>
    <t xml:space="preserve">Last name </t>
  </si>
  <si>
    <t xml:space="preserve">concat(${first_name}, ' ', ${last_name})</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</si>
  <si>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</si>
  <si>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</si>
  <si>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</si>
  <si>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</si>
  <si>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</si>
  <si>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</si>
  <si>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</si>
  <si>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</si>
  <si>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</si>
  <si>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floor(decimal-date-time(.)) &lt;= floor(decimal-date-time(today()))</t>
  </si>
  <si>
    <t xml:space="preserve">Date must be before today</t>
  </si>
  <si>
    <t xml:space="preserve">Date of Birth</t>
  </si>
  <si>
    <t xml:space="preserve">age_label</t>
  </si>
  <si>
    <t xml:space="preserve">**Age**</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</si>
  <si>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</si>
  <si>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</si>
  <si>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</si>
  <si>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</si>
  <si>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</si>
  <si>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</si>
  <si>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</si>
  <si>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</si>
  <si>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</si>
  <si>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</si>
  <si>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</si>
  <si>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</si>
  <si>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</si>
  <si>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</si>
  <si>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ephemeral_months</t>
  </si>
  <si>
    <t xml:space="preserve">if(format-date-time(today(),"%m") - coalesce(../age_months, 0) &lt; 0, format-date-time(today(),"%m") - coalesce(../age_months, 0) + 12, format-date-time(today(),"%m") - coalesce(../age_months, 0))</t>
  </si>
  <si>
    <t xml:space="preserve">ephemeral_years</t>
  </si>
  <si>
    <t xml:space="preserve">if(format-date-time(today(),"%m") - coalesce(../age_months, 0) &lt; 0, format-date-time(today(),"%Y") - ../age_years - 1, format-date-time(today(),"%Y") -../age_years)</t>
  </si>
  <si>
    <t xml:space="preserve">dob_approx</t>
  </si>
  <si>
    <t xml:space="preserve">concat(string(${ephemeral_years}),'-',if(${ephemeral_months}&lt;10, concat('0',string(${ephemeral_months})), ${ephemeral_months}),'-',string(format-date-time(today(), "%d")))</t>
  </si>
  <si>
    <t xml:space="preserve">dob_raw</t>
  </si>
  <si>
    <t xml:space="preserve">if(not(selected( ../dob_method,'approx')), 
../dob_calendar,
../dob_approx)</t>
  </si>
  <si>
    <t xml:space="preserve">dob_iso</t>
  </si>
  <si>
    <t xml:space="preserve">format-date-time(../dob_raw,"%Y-%m-%d")</t>
  </si>
  <si>
    <t xml:space="preserve">dob_debug</t>
  </si>
  <si>
    <t xml:space="preserve">Months: ${ephemeral_months}
Year: ${ephemeral_years}
DOB Approx: ${dob_approx}
DOB Calendar: ${dob_calendar}
DOB ISO: ${dob_iso}</t>
  </si>
  <si>
    <t xml:space="preserve">tel</t>
  </si>
  <si>
    <t xml:space="preserve">phone</t>
  </si>
  <si>
    <t xml:space="preserve">Phone number</t>
  </si>
  <si>
    <t xml:space="preserve">फोन नंबर</t>
  </si>
  <si>
    <t xml:space="preserve">Nomor Telepon</t>
  </si>
  <si>
    <t xml:space="preserve">Namba ya simu</t>
  </si>
  <si>
    <t xml:space="preserve">फोन नम्बर </t>
  </si>
  <si>
    <t xml:space="preserve">Téléphone</t>
  </si>
  <si>
    <t xml:space="preserve">Please enter a valid local number, or use the standard international format, which includes a plus sign (+) and country code. For example: +13125551211</t>
  </si>
  <si>
    <t xml:space="preserve">कृपया एक सही स्थानीय नंबर दर्ज करें, या मानक अंतरराष्ट्रीय प्रारूप का उपयोग करें, जिसमें एक प्लस साइन (+) और देश कोड शामिल है। उदाहरण के लिए: +13125551211</t>
  </si>
  <si>
    <t xml:space="preserve">Veuillez entrer un numéro local valide ou utiliser le format international standard, qui comprend un signe plus (+) et le code du pays. Par exemple: +13125551211</t>
  </si>
  <si>
    <t xml:space="preserve">phone_alternate</t>
  </si>
  <si>
    <t xml:space="preserve">Alternate phone number</t>
  </si>
  <si>
    <t xml:space="preserve">अन्य फोन नंबर</t>
  </si>
  <si>
    <t xml:space="preserve">Nomor Telepon Alternatif</t>
  </si>
  <si>
    <t xml:space="preserve">Namba nyingine ya simu</t>
  </si>
  <si>
    <t xml:space="preserve">अन्य फोन नम्बर </t>
  </si>
  <si>
    <t xml:space="preserve">Téléphone alternatif</t>
  </si>
  <si>
    <t xml:space="preserve">select_one male_female</t>
  </si>
  <si>
    <t xml:space="preserve">sex</t>
  </si>
  <si>
    <t xml:space="preserve">Sex</t>
  </si>
  <si>
    <t xml:space="preserve">लिंग</t>
  </si>
  <si>
    <t xml:space="preserve">Jenis kelamin</t>
  </si>
  <si>
    <t xml:space="preserve">Jinsia</t>
  </si>
  <si>
    <t xml:space="preserve">Sexe</t>
  </si>
  <si>
    <t xml:space="preserve">address</t>
  </si>
  <si>
    <t xml:space="preserve">Address</t>
  </si>
  <si>
    <t xml:space="preserve">select_one roles</t>
  </si>
  <si>
    <t xml:space="preserve">role</t>
  </si>
  <si>
    <t xml:space="preserve">Role</t>
  </si>
  <si>
    <t xml:space="preserve">भूमिका</t>
  </si>
  <si>
    <t xml:space="preserve">Peran</t>
  </si>
  <si>
    <t xml:space="preserve">Kazi</t>
  </si>
  <si>
    <t xml:space="preserve">Rôle</t>
  </si>
  <si>
    <t xml:space="preserve">role_other</t>
  </si>
  <si>
    <t xml:space="preserve">Specify other</t>
  </si>
  <si>
    <t xml:space="preserve">अन्य का उल्‍लेख करें</t>
  </si>
  <si>
    <t xml:space="preserve">Tentukan lainnya</t>
  </si>
  <si>
    <t xml:space="preserve">Fafanua nyingine</t>
  </si>
  <si>
    <t xml:space="preserve">अन्य उल्लेख गर्नुहोस्</t>
  </si>
  <si>
    <t xml:space="preserve">Autre rôle</t>
  </si>
  <si>
    <t xml:space="preserve">selected( ${role},'other')</t>
  </si>
  <si>
    <t xml:space="preserve">external_id</t>
  </si>
  <si>
    <t xml:space="preserve">External ID</t>
  </si>
  <si>
    <t xml:space="preserve">बाहरी ID</t>
  </si>
  <si>
    <t xml:space="preserve">Eksternal ID</t>
  </si>
  <si>
    <t xml:space="preserve">Kitambulisho ya nje</t>
  </si>
  <si>
    <t xml:space="preserve">बहिरी ID</t>
  </si>
  <si>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</si>
  <si>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</si>
  <si>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</si>
  <si>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</si>
  <si>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</si>
  <si>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</si>
  <si>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</si>
  <si>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</si>
  <si>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meta</t>
  </si>
  <si>
    <t xml:space="preserve">created_by</t>
  </si>
  <si>
    <t xml:space="preserve">created_by_person_uuid</t>
  </si>
  <si>
    <t xml:space="preserve">created_by_place_uuid</t>
  </si>
  <si>
    <t xml:space="preserve">last_edited_by</t>
  </si>
  <si>
    <t xml:space="preserve">../../../inputs/user/name</t>
  </si>
  <si>
    <t xml:space="preserve">last_edited_by_person_uuid</t>
  </si>
  <si>
    <t xml:space="preserve">../../../inputs/user/contact_id</t>
  </si>
  <si>
    <t xml:space="preserve">last_edited_by_place_uuid</t>
  </si>
  <si>
    <t xml:space="preserve">../../../inputs/user/facility_id</t>
  </si>
  <si>
    <t xml:space="preserve">list_name</t>
  </si>
  <si>
    <t xml:space="preserve">yes_no</t>
  </si>
  <si>
    <t xml:space="preserve">Yes</t>
  </si>
  <si>
    <t xml:space="preserve">हाँ</t>
  </si>
  <si>
    <t xml:space="preserve">Iya</t>
  </si>
  <si>
    <t xml:space="preserve">Ndiyo</t>
  </si>
  <si>
    <t xml:space="preserve">हो</t>
  </si>
  <si>
    <t xml:space="preserve">Oui</t>
  </si>
  <si>
    <t xml:space="preserve">No</t>
  </si>
  <si>
    <t xml:space="preserve">नहीं </t>
  </si>
  <si>
    <t xml:space="preserve">Tidak</t>
  </si>
  <si>
    <t xml:space="preserve">Siyo</t>
  </si>
  <si>
    <t xml:space="preserve">होइन</t>
  </si>
  <si>
    <t xml:space="preserve">Non</t>
  </si>
  <si>
    <t xml:space="preserve">male_female</t>
  </si>
  <si>
    <t xml:space="preserve">female</t>
  </si>
  <si>
    <t xml:space="preserve">Female</t>
  </si>
  <si>
    <t xml:space="preserve">स्त्री</t>
  </si>
  <si>
    <t xml:space="preserve">Wanita</t>
  </si>
  <si>
    <t xml:space="preserve">mwanamke</t>
  </si>
  <si>
    <t xml:space="preserve">महिला</t>
  </si>
  <si>
    <t xml:space="preserve">Femme</t>
  </si>
  <si>
    <t xml:space="preserve">male</t>
  </si>
  <si>
    <t xml:space="preserve">Male</t>
  </si>
  <si>
    <t xml:space="preserve">पुरूष</t>
  </si>
  <si>
    <t xml:space="preserve">Pria</t>
  </si>
  <si>
    <t xml:space="preserve">mwaamume</t>
  </si>
  <si>
    <t xml:space="preserve">पुरुष</t>
  </si>
  <si>
    <t xml:space="preserve">Homme</t>
  </si>
  <si>
    <t xml:space="preserve">boy_girl</t>
  </si>
  <si>
    <t xml:space="preserve">Girl</t>
  </si>
  <si>
    <t xml:space="preserve">लड़की</t>
  </si>
  <si>
    <t xml:space="preserve">Gadis</t>
  </si>
  <si>
    <t xml:space="preserve">Msichana</t>
  </si>
  <si>
    <t xml:space="preserve">छोरी </t>
  </si>
  <si>
    <t xml:space="preserve">Fille</t>
  </si>
  <si>
    <t xml:space="preserve">Boy</t>
  </si>
  <si>
    <t xml:space="preserve">लड़का</t>
  </si>
  <si>
    <t xml:space="preserve">Anak laki-laki </t>
  </si>
  <si>
    <t xml:space="preserve">Kijana</t>
  </si>
  <si>
    <t xml:space="preserve">छोरा</t>
  </si>
  <si>
    <t xml:space="preserve">Garçon</t>
  </si>
  <si>
    <t xml:space="preserve">select_dob_method</t>
  </si>
  <si>
    <t xml:space="preserve">approx</t>
  </si>
  <si>
    <t xml:space="preserve">Date unknown</t>
  </si>
  <si>
    <t xml:space="preserve">जन्म की तारीख का पता नहीं </t>
  </si>
  <si>
    <t xml:space="preserve">Tanggal tidak diketahui lahir</t>
  </si>
  <si>
    <t xml:space="preserve">Tarehe haijulikani</t>
  </si>
  <si>
    <t xml:space="preserve">जन्म मिती थाहा नभएको</t>
  </si>
  <si>
    <t xml:space="preserve">Date de naissance inconnue</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</si>
  <si>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</si>
  <si>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</si>
  <si>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</si>
  <si>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</si>
  <si>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</si>
  <si>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</si>
  <si>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</si>
  <si>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</si>
  <si>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</si>
  <si>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</si>
  <si>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</si>
  <si>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</si>
  <si>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</si>
  <si>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</si>
  <si>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</si>
  <si>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</si>
  <si>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</si>
  <si>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</si>
  <si>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</si>
  <si>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</si>
  <si>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</si>
  <si>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</si>
  <si>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</si>
  <si>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</si>
  <si>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</si>
  <si>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Ingine</t>
  </si>
  <si>
    <t xml:space="preserve">Autre</t>
  </si>
  <si>
    <t xml:space="preserve">place_type</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</si>
  <si>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</si>
  <si>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</si>
  <si>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</si>
  <si>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</si>
  <si>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</si>
  <si>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</si>
  <si>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</si>
  <si>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</si>
  <si>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</si>
  <si>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</si>
  <si>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</si>
  <si>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</si>
  <si>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</si>
  <si>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</si>
  <si>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</si>
  <si>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</si>
  <si>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</si>
  <si>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</si>
  <si>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</si>
  <si>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</si>
  <si>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form_title</t>
  </si>
  <si>
    <t xml:space="preserve">version</t>
  </si>
  <si>
    <t xml:space="preserve">style</t>
  </si>
  <si>
    <t xml:space="preserve">namespaces</t>
  </si>
  <si>
    <t xml:space="preserve">Edit Person</t>
  </si>
  <si>
    <t xml:space="preserve">pages</t>
  </si>
  <si>
    <r>
      <rPr>
        <sz val="10"/>
        <rFont val="Arial"/>
        <family val="0"/>
        <charset val="1"/>
      </rPr>
      <t xml:space="preserve">cht=</t>
    </r>
    <r>
      <rPr>
        <sz val="10"/>
        <color rgb="FF0000FF"/>
        <rFont val="Arial"/>
        <family val="0"/>
        <charset val="1"/>
      </rPr>
      <t xml:space="preserve">https://communityhealthtoolkit.org</t>
    </r>
  </si>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</sst>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8">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
      <sz val="10"/>
      <color rgb="FF0000FF"/>
      <name val="Arial"/>
      <family val="0"/>
      <charset val="1"/>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ommunityhealthtoolkit.org/" TargetMode="Externa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U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4" activeCellId="0" sqref="B4"/>
    </sheetView>
  </sheetViews>
  <sheetFormatPr defaultColWidth="14.4453125" defaultRowHeight="15" customHeight="false" zeroHeight="false" outlineLevelRow="0" outlineLevelCol="0"/>
  <cols>
    <col collapsed="false" customWidth="true" hidden="false" outlineLevel="0" max="1" min="1" style="1" width="1"/>
    <col collapsed="false" customWidth="true" hidden="false" outlineLevel="0" max="2" min="2" style="2" width="16.33"/>
    <col collapsed="false" customWidth="true" hidden="false" outlineLevel="0" max="3" min="3" style="1" width="19.67"/>
    <col collapsed="false" customWidth="true" hidden="false" outlineLevel="0" max="4" min="4" style="1" width="61.11"/>
    <col collapsed="false" customWidth="true" hidden="false" outlineLevel="0" max="5" min="5" style="1" width="51"/>
    <col collapsed="false" customWidth="true" hidden="false" outlineLevel="0" max="6" min="6" style="1" width="49.56"/>
    <col collapsed="false" customWidth="true" hidden="false" outlineLevel="0" max="7" min="7" style="1" width="34.66"/>
    <col collapsed="false" customWidth="true" hidden="false" outlineLevel="0" max="8" min="8" style="1" width="29.56"/>
    <col collapsed="false" customWidth="true" hidden="false" outlineLevel="0" max="9" min="9" style="1" width="23.11"/>
    <col collapsed="false" customWidth="true" hidden="false" outlineLevel="0" max="10" min="10" style="1" width="8.67"/>
    <col collapsed="false" customWidth="true" hidden="false" outlineLevel="0" max="11" min="11" style="1" width="14.56"/>
    <col collapsed="false" customWidth="true" hidden="false" outlineLevel="0" max="12" min="12" style="1" width="19.56"/>
    <col collapsed="false" customWidth="true" hidden="false" outlineLevel="0" max="13" min="13" style="3" width="10.66"/>
    <col collapsed="false" customWidth="true" hidden="false" outlineLevel="0" max="16" min="14" style="1" width="8.67"/>
    <col collapsed="false" customWidth="true" hidden="false" outlineLevel="0" max="17" min="17" style="1" width="15.44"/>
    <col collapsed="false" customWidth="true" hidden="false" outlineLevel="0" max="18" min="18" style="1" width="36.67"/>
    <col collapsed="false" customWidth="true" hidden="false" outlineLevel="0" max="19" min="19" style="1" width="19.67"/>
    <col collapsed="false" customWidth="true" hidden="false" outlineLevel="0" max="33" min="20" style="1" width="8.67"/>
    <col collapsed="false" customWidth="true" hidden="false" outlineLevel="0" max="16384" min="16373" style="0"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row>
    <row r="2" customFormat="false" ht="14.25" hidden="false" customHeight="true" outlineLevel="0" collapsed="false">
      <c r="B2" s="2" t="s">
        <v>21</v>
      </c>
      <c r="C2" s="1" t="s">
        <v>22</v>
      </c>
      <c r="K2" s="5" t="b">
        <f aca="false">FALSE()</f>
        <v>0</v>
      </c>
    </row>
    <row r="3" customFormat="false" ht="14.25" hidden="false" customHeight="true" outlineLevel="0" collapsed="false">
      <c r="B3" s="2" t="s">
        <v>21</v>
      </c>
      <c r="C3" s="1" t="s">
        <v>23</v>
      </c>
    </row>
    <row r="4" customFormat="false" ht="14.25" hidden="false" customHeight="true" outlineLevel="0" collapsed="false">
      <c r="B4" s="2" t="s">
        <v>24</v>
      </c>
      <c r="C4" s="1" t="s">
        <v>25</v>
      </c>
      <c r="D4" s="1" t="s">
        <v>26</v>
      </c>
      <c r="E4" s="1" t="s">
        <v>26</v>
      </c>
      <c r="F4" s="1" t="s">
        <v>26</v>
      </c>
      <c r="G4" s="1" t="s">
        <v>27</v>
      </c>
      <c r="H4" s="1" t="s">
        <v>28</v>
      </c>
      <c r="I4" s="1" t="s">
        <v>29</v>
      </c>
    </row>
    <row r="5" customFormat="false" ht="14.25" hidden="false" customHeight="true" outlineLevel="0" collapsed="false">
      <c r="B5" s="2" t="s">
        <v>24</v>
      </c>
      <c r="C5" s="1" t="s">
        <v>30</v>
      </c>
      <c r="D5" s="1" t="s">
        <v>31</v>
      </c>
      <c r="E5" s="1" t="s">
        <v>32</v>
      </c>
      <c r="F5" s="1" t="s">
        <v>33</v>
      </c>
      <c r="G5" s="1" t="s">
        <v>34</v>
      </c>
      <c r="H5" s="1" t="s">
        <v>35</v>
      </c>
      <c r="I5" s="1" t="s">
        <v>36</v>
      </c>
    </row>
    <row r="6" customFormat="false" ht="14.25" hidden="false" customHeight="true" outlineLevel="0" collapsed="false">
      <c r="B6" s="2" t="s">
        <v>24</v>
      </c>
      <c r="C6" s="1" t="s">
        <v>2</v>
      </c>
      <c r="D6" s="1" t="s">
        <v>37</v>
      </c>
      <c r="E6" s="1" t="s">
        <v>38</v>
      </c>
      <c r="F6" s="1" t="s">
        <v>39</v>
      </c>
      <c r="G6" s="1" t="s">
        <v>40</v>
      </c>
      <c r="H6" s="1" t="s">
        <v>41</v>
      </c>
      <c r="I6" s="1" t="s">
        <v>42</v>
      </c>
    </row>
    <row r="7" customFormat="false" ht="14.25" hidden="false" customHeight="true" outlineLevel="0" collapsed="false">
      <c r="B7" s="2" t="s">
        <v>43</v>
      </c>
      <c r="C7" s="1" t="s">
        <v>23</v>
      </c>
    </row>
    <row r="8" customFormat="false" ht="14.25" hidden="false" customHeight="true" outlineLevel="0" collapsed="false">
      <c r="B8" s="2" t="s">
        <v>43</v>
      </c>
      <c r="C8" s="1" t="s">
        <v>22</v>
      </c>
    </row>
    <row r="9" customFormat="false" ht="14.25" hidden="false" customHeight="true" outlineLevel="0" collapsed="false">
      <c r="M9" s="1"/>
    </row>
    <row r="10" customFormat="false" ht="14.25" hidden="false" customHeight="true" outlineLevel="0" collapsed="false">
      <c r="B10" s="2" t="s">
        <v>21</v>
      </c>
      <c r="C10" s="1" t="s">
        <v>44</v>
      </c>
      <c r="L10" s="1" t="s">
        <v>45</v>
      </c>
      <c r="U10" s="1" t="s">
        <v>46</v>
      </c>
    </row>
    <row r="11" customFormat="false" ht="14.25" hidden="false" customHeight="true" outlineLevel="0" collapsed="false">
      <c r="B11" s="2" t="s">
        <v>47</v>
      </c>
      <c r="C11" s="1" t="s">
        <v>48</v>
      </c>
      <c r="R11" s="1" t="s">
        <v>49</v>
      </c>
      <c r="U11" s="1" t="s">
        <v>50</v>
      </c>
    </row>
    <row r="12" customFormat="false" ht="14.25" hidden="false" customHeight="true" outlineLevel="0" collapsed="false">
      <c r="B12" s="2" t="s">
        <v>47</v>
      </c>
      <c r="C12" s="1" t="s">
        <v>51</v>
      </c>
      <c r="R12" s="1" t="s">
        <v>52</v>
      </c>
    </row>
    <row r="13" customFormat="false" ht="14.25" hidden="false" customHeight="true" outlineLevel="0" collapsed="false">
      <c r="B13" s="2" t="s">
        <v>24</v>
      </c>
      <c r="C13" s="1" t="s">
        <v>53</v>
      </c>
      <c r="D13" s="1" t="s">
        <v>54</v>
      </c>
      <c r="I13" s="1" t="s">
        <v>55</v>
      </c>
      <c r="L13" s="1" t="s">
        <v>56</v>
      </c>
      <c r="M13" s="3" t="s">
        <v>57</v>
      </c>
      <c r="R13" s="1" t="s">
        <v>58</v>
      </c>
    </row>
    <row r="14" customFormat="false" ht="14.25" hidden="false" customHeight="true" outlineLevel="0" collapsed="false">
      <c r="B14" s="2" t="s">
        <v>24</v>
      </c>
      <c r="C14" s="1" t="s">
        <v>1</v>
      </c>
      <c r="D14" s="1" t="s">
        <v>59</v>
      </c>
      <c r="E14" s="1" t="s">
        <v>59</v>
      </c>
      <c r="F14" s="1" t="s">
        <v>59</v>
      </c>
      <c r="G14" s="1" t="s">
        <v>59</v>
      </c>
      <c r="H14" s="1" t="s">
        <v>59</v>
      </c>
      <c r="I14" s="1" t="s">
        <v>59</v>
      </c>
      <c r="L14" s="1" t="s">
        <v>60</v>
      </c>
      <c r="U14" s="1" t="s">
        <v>61</v>
      </c>
    </row>
    <row r="15" customFormat="false" ht="14.25" hidden="false" customHeight="true" outlineLevel="0" collapsed="false">
      <c r="B15" s="2" t="s">
        <v>24</v>
      </c>
      <c r="C15" s="1" t="s">
        <v>2</v>
      </c>
      <c r="D15" s="1" t="s">
        <v>59</v>
      </c>
      <c r="E15" s="1" t="s">
        <v>59</v>
      </c>
      <c r="F15" s="1" t="s">
        <v>59</v>
      </c>
      <c r="G15" s="1" t="s">
        <v>59</v>
      </c>
      <c r="H15" s="1" t="s">
        <v>59</v>
      </c>
      <c r="I15" s="1" t="s">
        <v>59</v>
      </c>
      <c r="L15" s="1" t="s">
        <v>60</v>
      </c>
    </row>
    <row r="16" customFormat="false" ht="14.25" hidden="false" customHeight="true" outlineLevel="0" collapsed="false">
      <c r="B16" s="2" t="s">
        <v>20</v>
      </c>
      <c r="C16" s="1" t="s">
        <v>62</v>
      </c>
      <c r="D16" s="1" t="s">
        <v>63</v>
      </c>
      <c r="E16" s="1" t="s">
        <v>64</v>
      </c>
      <c r="F16" s="1" t="s">
        <v>65</v>
      </c>
      <c r="G16" s="1" t="s">
        <v>66</v>
      </c>
      <c r="H16" s="1" t="s">
        <v>67</v>
      </c>
      <c r="I16" s="1" t="s">
        <v>68</v>
      </c>
    </row>
    <row r="17" customFormat="false" ht="14.25" hidden="false" customHeight="true" outlineLevel="0" collapsed="false">
      <c r="B17" s="2" t="s">
        <v>69</v>
      </c>
      <c r="C17" s="1" t="s">
        <v>70</v>
      </c>
      <c r="D17" s="1" t="s">
        <v>71</v>
      </c>
      <c r="E17" s="1" t="s">
        <v>72</v>
      </c>
      <c r="F17" s="1" t="s">
        <v>73</v>
      </c>
      <c r="G17" s="1" t="s">
        <v>74</v>
      </c>
      <c r="H17" s="1" t="s">
        <v>75</v>
      </c>
      <c r="I17" s="1" t="s">
        <v>76</v>
      </c>
      <c r="J17" s="1" t="s">
        <v>77</v>
      </c>
      <c r="L17" s="1" t="s">
        <v>78</v>
      </c>
      <c r="T17" s="1" t="s">
        <v>79</v>
      </c>
    </row>
    <row r="18" customFormat="false" ht="14.25" hidden="false" customHeight="true" outlineLevel="0" collapsed="false">
      <c r="B18" s="2" t="s">
        <v>80</v>
      </c>
      <c r="C18" s="1" t="s">
        <v>81</v>
      </c>
      <c r="D18" s="1" t="s">
        <v>82</v>
      </c>
      <c r="E18" s="1" t="s">
        <v>83</v>
      </c>
      <c r="F18" s="1" t="s">
        <v>84</v>
      </c>
      <c r="G18" s="1" t="s">
        <v>85</v>
      </c>
      <c r="H18" s="1" t="s">
        <v>86</v>
      </c>
      <c r="I18" s="1" t="s">
        <v>87</v>
      </c>
      <c r="J18" s="1" t="s">
        <v>77</v>
      </c>
      <c r="K18" s="1" t="s">
        <v>88</v>
      </c>
      <c r="L18" s="1" t="s">
        <v>78</v>
      </c>
    </row>
    <row r="19" customFormat="false" ht="14.25" hidden="false" customHeight="true" outlineLevel="0" collapsed="false">
      <c r="B19" s="2" t="s">
        <v>24</v>
      </c>
      <c r="C19" s="1" t="s">
        <v>89</v>
      </c>
      <c r="D19" s="1" t="s">
        <v>90</v>
      </c>
      <c r="E19" s="1" t="s">
        <v>91</v>
      </c>
      <c r="F19" s="1" t="s">
        <v>92</v>
      </c>
      <c r="G19" s="1" t="s">
        <v>93</v>
      </c>
      <c r="H19" s="1" t="s">
        <v>94</v>
      </c>
      <c r="I19" s="1" t="s">
        <v>95</v>
      </c>
      <c r="J19" s="1" t="s">
        <v>77</v>
      </c>
      <c r="K19" s="1" t="s">
        <v>96</v>
      </c>
      <c r="L19" s="1" t="s">
        <v>97</v>
      </c>
      <c r="U19" s="1" t="s">
        <v>98</v>
      </c>
    </row>
    <row r="20" customFormat="false" ht="14.25" hidden="false" customHeight="true" outlineLevel="0" collapsed="false">
      <c r="B20" s="2" t="s">
        <v>24</v>
      </c>
      <c r="C20" s="1" t="s">
        <v>99</v>
      </c>
      <c r="D20" s="1" t="s">
        <v>100</v>
      </c>
      <c r="E20" s="1" t="s">
        <v>101</v>
      </c>
      <c r="F20" s="1" t="s">
        <v>102</v>
      </c>
      <c r="G20" s="1" t="s">
        <v>103</v>
      </c>
      <c r="H20" s="1" t="s">
        <v>104</v>
      </c>
      <c r="I20" s="1" t="s">
        <v>105</v>
      </c>
      <c r="J20" s="1" t="s">
        <v>77</v>
      </c>
      <c r="K20" s="1" t="s">
        <v>106</v>
      </c>
      <c r="L20" s="1" t="s">
        <v>107</v>
      </c>
      <c r="U20" s="1" t="s">
        <v>108</v>
      </c>
    </row>
    <row r="21" customFormat="false" ht="14.25" hidden="false" customHeight="true" outlineLevel="0" collapsed="false">
      <c r="B21" s="2" t="s">
        <v>24</v>
      </c>
      <c r="C21" s="1" t="s">
        <v>109</v>
      </c>
      <c r="D21" s="1" t="s">
        <v>110</v>
      </c>
      <c r="E21" s="1" t="s">
        <v>111</v>
      </c>
      <c r="F21" s="1" t="s">
        <v>112</v>
      </c>
      <c r="G21" s="1" t="s">
        <v>113</v>
      </c>
      <c r="H21" s="1" t="s">
        <v>114</v>
      </c>
      <c r="I21" s="1" t="s">
        <v>115</v>
      </c>
      <c r="J21" s="1" t="s">
        <v>77</v>
      </c>
      <c r="K21" s="1" t="s">
        <v>116</v>
      </c>
      <c r="L21" s="1" t="s">
        <v>117</v>
      </c>
      <c r="U21" s="1" t="s">
        <v>118</v>
      </c>
    </row>
    <row r="22" customFormat="false" ht="14.25" hidden="false" customHeight="true" outlineLevel="0" collapsed="false">
      <c r="B22" s="2" t="s">
        <v>43</v>
      </c>
      <c r="C22" s="1" t="s">
        <v>44</v>
      </c>
    </row>
    <row r="23" customFormat="false" ht="14.25" hidden="false" customHeight="true" outlineLevel="0" collapsed="false">
      <c r="M23" s="1"/>
    </row>
    <row r="24" customFormat="false" ht="14.25" hidden="false" customHeight="true" outlineLevel="0" collapsed="false">
      <c r="B24" s="2" t="s">
        <v>21</v>
      </c>
      <c r="C24" s="1" t="s">
        <v>119</v>
      </c>
      <c r="D24" s="1" t="s">
        <v>120</v>
      </c>
      <c r="E24" s="1" t="s">
        <v>121</v>
      </c>
      <c r="F24" s="1" t="s">
        <v>122</v>
      </c>
      <c r="G24" s="1" t="s">
        <v>123</v>
      </c>
      <c r="H24" s="1" t="s">
        <v>124</v>
      </c>
      <c r="I24" s="1" t="s">
        <v>125</v>
      </c>
      <c r="L24" s="1" t="s">
        <v>45</v>
      </c>
      <c r="U24" s="1" t="s">
        <v>126</v>
      </c>
    </row>
    <row r="25" customFormat="false" ht="14.25" hidden="false" customHeight="true" outlineLevel="0" collapsed="false">
      <c r="B25" s="2" t="s">
        <v>47</v>
      </c>
      <c r="C25" s="1" t="s">
        <v>127</v>
      </c>
      <c r="R25" s="1" t="s">
        <v>128</v>
      </c>
    </row>
    <row r="26" customFormat="false" ht="14.25" hidden="false" customHeight="true" outlineLevel="0" collapsed="false">
      <c r="B26" s="2" t="s">
        <v>60</v>
      </c>
      <c r="C26" s="1" t="s">
        <v>129</v>
      </c>
      <c r="M26" s="3" t="s">
        <v>57</v>
      </c>
      <c r="U26" s="1" t="s">
        <v>130</v>
      </c>
    </row>
    <row r="27" customFormat="false" ht="14.25" hidden="false" customHeight="true" outlineLevel="0" collapsed="false">
      <c r="B27" s="2" t="s">
        <v>60</v>
      </c>
      <c r="C27" s="1" t="s">
        <v>1</v>
      </c>
      <c r="M27" s="3" t="s">
        <v>57</v>
      </c>
      <c r="T27" s="1" t="s">
        <v>119</v>
      </c>
      <c r="U27" s="1" t="s">
        <v>130</v>
      </c>
    </row>
    <row r="28" customFormat="false" ht="14.25" hidden="false" customHeight="true" outlineLevel="0" collapsed="false">
      <c r="B28" s="2" t="s">
        <v>24</v>
      </c>
      <c r="C28" s="1" t="s">
        <v>131</v>
      </c>
      <c r="D28" s="1" t="s">
        <v>132</v>
      </c>
      <c r="J28" s="1" t="s">
        <v>77</v>
      </c>
    </row>
    <row r="29" customFormat="false" ht="14.25" hidden="false" customHeight="true" outlineLevel="0" collapsed="false">
      <c r="B29" s="2" t="s">
        <v>24</v>
      </c>
      <c r="C29" s="1" t="s">
        <v>133</v>
      </c>
      <c r="D29" s="1" t="s">
        <v>134</v>
      </c>
      <c r="J29" s="1" t="s">
        <v>77</v>
      </c>
    </row>
    <row r="30" customFormat="false" ht="14.25" hidden="false" customHeight="true" outlineLevel="0" collapsed="false">
      <c r="B30" s="2" t="s">
        <v>47</v>
      </c>
      <c r="C30" s="1" t="s">
        <v>2</v>
      </c>
      <c r="L30" s="1" t="s">
        <v>60</v>
      </c>
      <c r="R30" s="1" t="s">
        <v>135</v>
      </c>
    </row>
    <row r="31" customFormat="false" ht="14.25" hidden="false" customHeight="true" outlineLevel="0" collapsed="false">
      <c r="B31" s="2" t="s">
        <v>47</v>
      </c>
      <c r="C31" s="1" t="s">
        <v>136</v>
      </c>
      <c r="J31" s="1" t="s">
        <v>77</v>
      </c>
      <c r="R31" s="1" t="s">
        <v>137</v>
      </c>
    </row>
    <row r="32" customFormat="false" ht="14.25" hidden="false" customHeight="true" outlineLevel="0" collapsed="false">
      <c r="B32" s="2" t="s">
        <v>47</v>
      </c>
      <c r="C32" s="1" t="s">
        <v>138</v>
      </c>
      <c r="R32" s="1" t="s">
        <v>139</v>
      </c>
    </row>
    <row r="33" customFormat="false" ht="14.25" hidden="false" customHeight="true" outlineLevel="0" collapsed="false">
      <c r="B33" s="2" t="s">
        <v>21</v>
      </c>
      <c r="C33" s="1" t="s">
        <v>140</v>
      </c>
    </row>
    <row r="34" customFormat="false" ht="14.25" hidden="false" customHeight="true" outlineLevel="0" collapsed="false">
      <c r="B34" s="2" t="s">
        <v>141</v>
      </c>
      <c r="C34" s="1" t="s">
        <v>142</v>
      </c>
      <c r="D34" s="1" t="s">
        <v>143</v>
      </c>
      <c r="J34" s="1" t="s">
        <v>77</v>
      </c>
      <c r="K34" s="1" t="s">
        <v>144</v>
      </c>
      <c r="N34" s="1" t="s">
        <v>145</v>
      </c>
      <c r="O34" s="1" t="s">
        <v>146</v>
      </c>
      <c r="S34" s="1" t="s">
        <v>147</v>
      </c>
    </row>
    <row r="35" customFormat="false" ht="14.25" hidden="false" customHeight="true" outlineLevel="0" collapsed="false">
      <c r="B35" s="2" t="s">
        <v>20</v>
      </c>
      <c r="C35" s="1" t="s">
        <v>148</v>
      </c>
      <c r="D35" s="1" t="s">
        <v>149</v>
      </c>
      <c r="K35" s="1" t="s">
        <v>150</v>
      </c>
    </row>
    <row r="36" customFormat="false" ht="14.25" hidden="false" customHeight="true" outlineLevel="0" collapsed="false">
      <c r="B36" s="2" t="s">
        <v>151</v>
      </c>
      <c r="C36" s="1" t="s">
        <v>152</v>
      </c>
      <c r="D36" s="1" t="s">
        <v>153</v>
      </c>
      <c r="J36" s="1" t="s">
        <v>77</v>
      </c>
      <c r="K36" s="1" t="s">
        <v>150</v>
      </c>
      <c r="N36" s="1" t="s">
        <v>154</v>
      </c>
      <c r="O36" s="1" t="s">
        <v>155</v>
      </c>
    </row>
    <row r="37" customFormat="false" ht="14.25" hidden="false" customHeight="true" outlineLevel="0" collapsed="false">
      <c r="B37" s="2" t="s">
        <v>151</v>
      </c>
      <c r="C37" s="1" t="s">
        <v>156</v>
      </c>
      <c r="D37" s="1" t="s">
        <v>157</v>
      </c>
      <c r="K37" s="1" t="s">
        <v>150</v>
      </c>
      <c r="N37" s="1" t="s">
        <v>158</v>
      </c>
      <c r="O37" s="1" t="s">
        <v>159</v>
      </c>
    </row>
    <row r="38" customFormat="false" ht="14.25" hidden="false" customHeight="true" outlineLevel="0" collapsed="false">
      <c r="B38" s="2" t="s">
        <v>160</v>
      </c>
      <c r="C38" s="1" t="s">
        <v>161</v>
      </c>
      <c r="D38" s="1" t="s">
        <v>162</v>
      </c>
      <c r="L38" s="1" t="s">
        <v>163</v>
      </c>
    </row>
    <row r="39" customFormat="false" ht="14.25" hidden="false" customHeight="true" outlineLevel="0" collapsed="false">
      <c r="B39" s="2" t="s">
        <v>47</v>
      </c>
      <c r="C39" s="1" t="s">
        <v>164</v>
      </c>
      <c r="R39" s="1" t="s">
        <v>165</v>
      </c>
    </row>
    <row r="40" customFormat="false" ht="14.25" hidden="false" customHeight="true" outlineLevel="0" collapsed="false">
      <c r="B40" s="2" t="s">
        <v>47</v>
      </c>
      <c r="C40" s="1" t="s">
        <v>166</v>
      </c>
      <c r="R40" s="1" t="s">
        <v>167</v>
      </c>
    </row>
    <row r="41" customFormat="false" ht="14.25" hidden="false" customHeight="true" outlineLevel="0" collapsed="false">
      <c r="B41" s="2" t="s">
        <v>47</v>
      </c>
      <c r="C41" s="1" t="s">
        <v>168</v>
      </c>
      <c r="R41" s="1" t="s">
        <v>169</v>
      </c>
    </row>
    <row r="42" customFormat="false" ht="14.25" hidden="false" customHeight="true" outlineLevel="0" collapsed="false">
      <c r="B42" s="2" t="s">
        <v>47</v>
      </c>
      <c r="C42" s="1" t="s">
        <v>170</v>
      </c>
      <c r="R42" s="1" t="s">
        <v>171</v>
      </c>
    </row>
    <row r="43" customFormat="false" ht="14.25" hidden="false" customHeight="true" outlineLevel="0" collapsed="false">
      <c r="B43" s="2" t="s">
        <v>47</v>
      </c>
      <c r="C43" s="1" t="s">
        <v>172</v>
      </c>
      <c r="R43" s="1" t="s">
        <v>173</v>
      </c>
    </row>
    <row r="44" customFormat="false" ht="14.25" hidden="false" customHeight="true" outlineLevel="0" collapsed="false">
      <c r="B44" s="2" t="s">
        <v>20</v>
      </c>
      <c r="C44" s="1" t="s">
        <v>174</v>
      </c>
      <c r="D44" s="1" t="s">
        <v>175</v>
      </c>
      <c r="K44" s="5" t="b">
        <f aca="false">FALSE()</f>
        <v>0</v>
      </c>
    </row>
    <row r="45" customFormat="false" ht="14.25" hidden="false" customHeight="true" outlineLevel="0" collapsed="false">
      <c r="B45" s="2" t="s">
        <v>43</v>
      </c>
      <c r="C45" s="1" t="s">
        <v>140</v>
      </c>
    </row>
    <row r="46" customFormat="false" ht="14.25" hidden="false" customHeight="true" outlineLevel="0" collapsed="false">
      <c r="B46" s="2" t="s">
        <v>176</v>
      </c>
      <c r="C46" s="1" t="s">
        <v>177</v>
      </c>
      <c r="D46" s="1" t="s">
        <v>178</v>
      </c>
      <c r="E46" s="1" t="s">
        <v>179</v>
      </c>
      <c r="F46" s="1" t="s">
        <v>180</v>
      </c>
      <c r="G46" s="1" t="s">
        <v>181</v>
      </c>
      <c r="H46" s="1" t="s">
        <v>182</v>
      </c>
      <c r="I46" s="1" t="s">
        <v>183</v>
      </c>
      <c r="N46" s="5" t="b">
        <f aca="false">TRUE()</f>
        <v>1</v>
      </c>
      <c r="O46" s="1" t="s">
        <v>184</v>
      </c>
      <c r="P46" s="1" t="s">
        <v>185</v>
      </c>
      <c r="Q46" s="1" t="s">
        <v>186</v>
      </c>
    </row>
    <row r="47" customFormat="false" ht="14.25" hidden="false" customHeight="true" outlineLevel="0" collapsed="false">
      <c r="B47" s="2" t="s">
        <v>176</v>
      </c>
      <c r="C47" s="1" t="s">
        <v>187</v>
      </c>
      <c r="D47" s="1" t="s">
        <v>188</v>
      </c>
      <c r="E47" s="1" t="s">
        <v>189</v>
      </c>
      <c r="F47" s="1" t="s">
        <v>190</v>
      </c>
      <c r="G47" s="1" t="s">
        <v>191</v>
      </c>
      <c r="H47" s="1" t="s">
        <v>192</v>
      </c>
      <c r="I47" s="1" t="s">
        <v>193</v>
      </c>
      <c r="N47" s="5" t="b">
        <f aca="false">TRUE()</f>
        <v>1</v>
      </c>
      <c r="O47" s="1" t="s">
        <v>184</v>
      </c>
      <c r="P47" s="1" t="s">
        <v>185</v>
      </c>
      <c r="Q47" s="1" t="s">
        <v>186</v>
      </c>
    </row>
    <row r="48" customFormat="false" ht="14.25" hidden="false" customHeight="true" outlineLevel="0" collapsed="false">
      <c r="B48" s="2" t="s">
        <v>194</v>
      </c>
      <c r="C48" s="1" t="s">
        <v>195</v>
      </c>
      <c r="D48" s="1" t="s">
        <v>196</v>
      </c>
      <c r="E48" s="1" t="s">
        <v>197</v>
      </c>
      <c r="F48" s="1" t="s">
        <v>198</v>
      </c>
      <c r="G48" s="1" t="s">
        <v>199</v>
      </c>
      <c r="H48" s="1" t="s">
        <v>197</v>
      </c>
      <c r="I48" s="1" t="s">
        <v>200</v>
      </c>
      <c r="L48" s="1" t="s">
        <v>163</v>
      </c>
    </row>
    <row r="49" customFormat="false" ht="14.25" hidden="false" customHeight="true" outlineLevel="0" collapsed="false">
      <c r="B49" s="2" t="s">
        <v>24</v>
      </c>
      <c r="C49" s="1" t="s">
        <v>201</v>
      </c>
      <c r="D49" s="1" t="s">
        <v>202</v>
      </c>
    </row>
    <row r="50" customFormat="false" ht="14.25" hidden="false" customHeight="true" outlineLevel="0" collapsed="false">
      <c r="B50" s="2" t="s">
        <v>203</v>
      </c>
      <c r="C50" s="1" t="s">
        <v>204</v>
      </c>
      <c r="D50" s="1" t="s">
        <v>205</v>
      </c>
      <c r="E50" s="1" t="s">
        <v>206</v>
      </c>
      <c r="F50" s="1" t="s">
        <v>207</v>
      </c>
      <c r="G50" s="1" t="s">
        <v>208</v>
      </c>
      <c r="H50" s="1" t="s">
        <v>206</v>
      </c>
      <c r="I50" s="1" t="s">
        <v>209</v>
      </c>
      <c r="J50" s="1" t="s">
        <v>77</v>
      </c>
    </row>
    <row r="51" customFormat="false" ht="14.25" hidden="false" customHeight="true" outlineLevel="0" collapsed="false">
      <c r="B51" s="2" t="s">
        <v>24</v>
      </c>
      <c r="C51" s="1" t="s">
        <v>210</v>
      </c>
      <c r="D51" s="1" t="s">
        <v>211</v>
      </c>
      <c r="E51" s="1" t="s">
        <v>212</v>
      </c>
      <c r="F51" s="1" t="s">
        <v>213</v>
      </c>
      <c r="G51" s="1" t="s">
        <v>214</v>
      </c>
      <c r="H51" s="1" t="s">
        <v>215</v>
      </c>
      <c r="I51" s="1" t="s">
        <v>216</v>
      </c>
      <c r="J51" s="1" t="s">
        <v>77</v>
      </c>
      <c r="K51" s="1" t="s">
        <v>217</v>
      </c>
    </row>
    <row r="52" customFormat="false" ht="14.25" hidden="false" customHeight="true" outlineLevel="0" collapsed="false">
      <c r="B52" s="2" t="s">
        <v>24</v>
      </c>
      <c r="C52" s="1" t="s">
        <v>218</v>
      </c>
      <c r="D52" s="1" t="s">
        <v>219</v>
      </c>
      <c r="E52" s="1" t="s">
        <v>220</v>
      </c>
      <c r="F52" s="1" t="s">
        <v>221</v>
      </c>
      <c r="G52" s="1" t="s">
        <v>222</v>
      </c>
      <c r="H52" s="1" t="s">
        <v>223</v>
      </c>
      <c r="I52" s="1" t="s">
        <v>224</v>
      </c>
    </row>
    <row r="53" customFormat="false" ht="14.25" hidden="false" customHeight="true" outlineLevel="0" collapsed="false">
      <c r="B53" s="2" t="s">
        <v>24</v>
      </c>
      <c r="C53" s="1" t="s">
        <v>225</v>
      </c>
      <c r="D53" s="1" t="s">
        <v>226</v>
      </c>
      <c r="E53" s="1" t="s">
        <v>227</v>
      </c>
      <c r="F53" s="1" t="s">
        <v>228</v>
      </c>
      <c r="G53" s="1" t="s">
        <v>229</v>
      </c>
      <c r="H53" s="1" t="s">
        <v>230</v>
      </c>
      <c r="I53" s="1" t="s">
        <v>226</v>
      </c>
      <c r="L53" s="1" t="s">
        <v>231</v>
      </c>
    </row>
    <row r="54" customFormat="false" ht="14.25" hidden="false" customHeight="true" outlineLevel="0" collapsed="false">
      <c r="B54" s="2" t="s">
        <v>21</v>
      </c>
      <c r="C54" s="1" t="s">
        <v>232</v>
      </c>
      <c r="L54" s="1" t="s">
        <v>60</v>
      </c>
    </row>
    <row r="55" customFormat="false" ht="14.25" hidden="false" customHeight="true" outlineLevel="0" collapsed="false">
      <c r="B55" s="2" t="s">
        <v>60</v>
      </c>
      <c r="C55" s="1" t="s">
        <v>233</v>
      </c>
      <c r="M55" s="3" t="s">
        <v>57</v>
      </c>
    </row>
    <row r="56" customFormat="false" ht="14.25" hidden="false" customHeight="true" outlineLevel="0" collapsed="false">
      <c r="B56" s="2" t="s">
        <v>60</v>
      </c>
      <c r="C56" s="1" t="s">
        <v>234</v>
      </c>
      <c r="M56" s="3" t="s">
        <v>57</v>
      </c>
    </row>
    <row r="57" customFormat="false" ht="14.25" hidden="false" customHeight="true" outlineLevel="0" collapsed="false">
      <c r="B57" s="2" t="s">
        <v>60</v>
      </c>
      <c r="C57" s="1" t="s">
        <v>235</v>
      </c>
      <c r="M57" s="3" t="s">
        <v>57</v>
      </c>
    </row>
    <row r="58" customFormat="false" ht="14.25" hidden="false" customHeight="true" outlineLevel="0" collapsed="false">
      <c r="B58" s="2" t="s">
        <v>47</v>
      </c>
      <c r="C58" s="1" t="s">
        <v>236</v>
      </c>
      <c r="R58" s="1" t="s">
        <v>237</v>
      </c>
    </row>
    <row r="59" customFormat="false" ht="14.25" hidden="false" customHeight="true" outlineLevel="0" collapsed="false">
      <c r="B59" s="2" t="s">
        <v>47</v>
      </c>
      <c r="C59" s="1" t="s">
        <v>238</v>
      </c>
      <c r="R59" s="1" t="s">
        <v>239</v>
      </c>
    </row>
    <row r="60" customFormat="false" ht="14.25" hidden="false" customHeight="true" outlineLevel="0" collapsed="false">
      <c r="B60" s="2" t="s">
        <v>47</v>
      </c>
      <c r="C60" s="1" t="s">
        <v>240</v>
      </c>
      <c r="R60" s="1" t="s">
        <v>241</v>
      </c>
    </row>
    <row r="61" customFormat="false" ht="14.25" hidden="false" customHeight="true" outlineLevel="0" collapsed="false">
      <c r="B61" s="2" t="s">
        <v>43</v>
      </c>
      <c r="C61" s="1" t="s">
        <v>232</v>
      </c>
    </row>
    <row r="62" customFormat="false" ht="14.25" hidden="false" customHeight="true" outlineLevel="0" collapsed="false">
      <c r="B62" s="2" t="s">
        <v>43</v>
      </c>
      <c r="C62" s="1" t="s">
        <v>119</v>
      </c>
    </row>
  </sheetData>
  <conditionalFormatting sqref="B1:BT1">
    <cfRule type="expression" priority="2" aboveAverage="0" equalAverage="0" bottom="0" percent="0" rank="0" text="" dxfId="0">
      <formula>AND(B1&lt;&gt;"",COUNTIF($B$1:$BT$1,B1)&gt;1)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$1062)=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AND(NOT(ISERROR(MATCH(B1,{"#","appearance","instance::cht:duration","instance::cht:unique_tel","instance::db-doc","instance::db-doc-ref","instance::tag","instance::type","name","note","parameters","read_only","trigger","type"},0))),COUNTA(B$2:B$1062)=0)</formula>
    </cfRule>
    <cfRule type="expression" priority="6" aboveAverage="0" equalAverage="0" bottom="0" percent="0" rank="0" text="" dxfId="4">
      <formula>AND(NOT(ISERROR(MATCH(B1,{"calculation","choice_filter","constraint","default","relevant","repeat_count","required"},0))),COUNTA(B$2:B$1062)=0)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62">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62">
    <cfRule type="expression" priority="11" aboveAverage="0" equalAverage="0" bottom="0" percent="0" rank="0" text="" dxfId="9">
      <formula>AND(M2&lt;&gt;"",M2&lt;&gt;"true")</formula>
    </cfRule>
  </conditionalFormatting>
  <conditionalFormatting sqref="C2:C1062">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62">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E2:E1062">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2:F1062">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2:G1062">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2:H1062">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2:I1062">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R2:R1062">
    <cfRule type="expression" priority="32" aboveAverage="0" equalAverage="0" bottom="0" percent="0" rank="0" text="" dxfId="30">
      <formula>AND(B2="calculate",R2="")</formula>
    </cfRule>
  </conditionalFormatting>
  <conditionalFormatting sqref="B2:BT1062">
    <cfRule type="expression" priority="33" aboveAverage="0" equalAverage="0" bottom="0" percent="0" rank="0" text="" dxfId="31">
      <formula>AND($B2="begin_group",B$1&lt;&gt;"")</formula>
    </cfRule>
  </conditionalFormatting>
  <conditionalFormatting sqref="B2:BT1062">
    <cfRule type="expression" priority="34" aboveAverage="0" equalAverage="0" bottom="0" percent="0" rank="0" text="" dxfId="32">
      <formula>AND($B2="end_group",B$1&lt;&gt;"")</formula>
    </cfRule>
  </conditionalFormatting>
  <conditionalFormatting sqref="B2:BT1062">
    <cfRule type="expression" priority="35" aboveAverage="0" equalAverage="0" bottom="0" percent="0" rank="0" text="" dxfId="33">
      <formula>AND($B2="begin_repeat",B$1&lt;&gt;"")</formula>
    </cfRule>
  </conditionalFormatting>
  <conditionalFormatting sqref="B2:BT1062">
    <cfRule type="expression" priority="36" aboveAverage="0" equalAverage="0" bottom="0" percent="0" rank="0" text="" dxfId="34">
      <formula>AND($B2="end_repeat",B$1&lt;&gt;"")</formula>
    </cfRule>
  </conditionalFormatting>
  <conditionalFormatting sqref="A2:BT1062">
    <cfRule type="expression" priority="37" aboveAverage="0" equalAverage="0" bottom="0" percent="0" rank="0" text="" dxfId="35">
      <formula>AND(A2&lt;&gt;"",A$1="")</formula>
    </cfRule>
  </conditionalFormatting>
  <conditionalFormatting sqref="A2:A1062">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T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62"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62"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18" activeCellId="0" sqref="G18"/>
    </sheetView>
  </sheetViews>
  <sheetFormatPr defaultColWidth="14.4453125" defaultRowHeight="15" customHeight="false" zeroHeight="false" outlineLevelRow="0" outlineLevelCol="0"/>
  <cols>
    <col collapsed="false" customWidth="true" hidden="false" outlineLevel="0" max="1" min="1" style="1" width="21.11"/>
    <col collapsed="false" customWidth="true" hidden="false" outlineLevel="0" max="2" min="2" style="1" width="9.67"/>
    <col collapsed="false" customWidth="true" hidden="false" outlineLevel="0" max="3" min="3" style="1" width="29.56"/>
    <col collapsed="false" customWidth="true" hidden="false" outlineLevel="0" max="4" min="4" style="1" width="27.67"/>
    <col collapsed="false" customWidth="true" hidden="false" outlineLevel="0" max="6" min="5" style="1" width="26.67"/>
    <col collapsed="false" customWidth="true" hidden="false" outlineLevel="0" max="7" min="7" style="1" width="39.33"/>
    <col collapsed="false" customWidth="true" hidden="false" outlineLevel="0" max="12" min="8" style="1" width="7.67"/>
    <col collapsed="false" customWidth="true" hidden="false" outlineLevel="0" max="25" min="13" style="1" width="15.11"/>
    <col collapsed="false" customWidth="true" hidden="false" outlineLevel="0" max="16384" min="16384" style="0" width="11.53"/>
  </cols>
  <sheetData>
    <row r="1" customFormat="false" ht="14.25" hidden="false" customHeight="true" outlineLevel="0" collapsed="false">
      <c r="A1" s="1" t="s">
        <v>242</v>
      </c>
      <c r="B1" s="1" t="s">
        <v>2</v>
      </c>
      <c r="C1" s="1" t="s">
        <v>3</v>
      </c>
      <c r="D1" s="1" t="s">
        <v>4</v>
      </c>
      <c r="E1" s="1" t="s">
        <v>5</v>
      </c>
      <c r="F1" s="1" t="s">
        <v>6</v>
      </c>
      <c r="G1" s="1" t="s">
        <v>7</v>
      </c>
      <c r="H1" s="1" t="s">
        <v>8</v>
      </c>
    </row>
    <row r="2" customFormat="false" ht="14.25" hidden="false" customHeight="true" outlineLevel="0" collapsed="false">
      <c r="A2" s="1" t="s">
        <v>243</v>
      </c>
      <c r="B2" s="1" t="s">
        <v>57</v>
      </c>
      <c r="C2" s="1" t="s">
        <v>244</v>
      </c>
      <c r="D2" s="1" t="s">
        <v>245</v>
      </c>
      <c r="E2" s="1" t="s">
        <v>246</v>
      </c>
      <c r="F2" s="1" t="s">
        <v>247</v>
      </c>
      <c r="G2" s="1" t="s">
        <v>248</v>
      </c>
      <c r="H2" s="1" t="s">
        <v>249</v>
      </c>
    </row>
    <row r="3" customFormat="false" ht="14.25" hidden="false" customHeight="true" outlineLevel="0" collapsed="false">
      <c r="A3" s="1" t="s">
        <v>243</v>
      </c>
      <c r="B3" s="1" t="s">
        <v>79</v>
      </c>
      <c r="C3" s="1" t="s">
        <v>250</v>
      </c>
      <c r="D3" s="1" t="s">
        <v>251</v>
      </c>
      <c r="E3" s="1" t="s">
        <v>252</v>
      </c>
      <c r="F3" s="1" t="s">
        <v>253</v>
      </c>
      <c r="G3" s="1" t="s">
        <v>254</v>
      </c>
      <c r="H3" s="1" t="s">
        <v>255</v>
      </c>
    </row>
    <row r="4" customFormat="false" ht="14.25" hidden="false" customHeight="true" outlineLevel="0" collapsed="false">
      <c r="A4" s="1" t="s">
        <v>256</v>
      </c>
      <c r="B4" s="1" t="s">
        <v>257</v>
      </c>
      <c r="C4" s="1" t="s">
        <v>258</v>
      </c>
      <c r="D4" s="1" t="s">
        <v>259</v>
      </c>
      <c r="E4" s="1" t="s">
        <v>260</v>
      </c>
      <c r="F4" s="1" t="s">
        <v>261</v>
      </c>
      <c r="G4" s="1" t="s">
        <v>262</v>
      </c>
      <c r="H4" s="1" t="s">
        <v>263</v>
      </c>
    </row>
    <row r="5" customFormat="false" ht="14.25" hidden="false" customHeight="true" outlineLevel="0" collapsed="false">
      <c r="A5" s="1" t="s">
        <v>256</v>
      </c>
      <c r="B5" s="1" t="s">
        <v>264</v>
      </c>
      <c r="C5" s="1" t="s">
        <v>265</v>
      </c>
      <c r="D5" s="1" t="s">
        <v>266</v>
      </c>
      <c r="E5" s="1" t="s">
        <v>267</v>
      </c>
      <c r="F5" s="1" t="s">
        <v>268</v>
      </c>
      <c r="G5" s="1" t="s">
        <v>269</v>
      </c>
      <c r="H5" s="1" t="s">
        <v>270</v>
      </c>
    </row>
    <row r="6" customFormat="false" ht="14.25" hidden="false" customHeight="true" outlineLevel="0" collapsed="false">
      <c r="A6" s="1" t="s">
        <v>271</v>
      </c>
      <c r="B6" s="1" t="s">
        <v>257</v>
      </c>
      <c r="C6" s="1" t="s">
        <v>272</v>
      </c>
      <c r="D6" s="1" t="s">
        <v>273</v>
      </c>
      <c r="E6" s="1" t="s">
        <v>274</v>
      </c>
      <c r="F6" s="1" t="s">
        <v>275</v>
      </c>
      <c r="G6" s="1" t="s">
        <v>276</v>
      </c>
      <c r="H6" s="1" t="s">
        <v>277</v>
      </c>
    </row>
    <row r="7" customFormat="false" ht="14.25" hidden="false" customHeight="true" outlineLevel="0" collapsed="false">
      <c r="A7" s="1" t="s">
        <v>271</v>
      </c>
      <c r="B7" s="1" t="s">
        <v>264</v>
      </c>
      <c r="C7" s="1" t="s">
        <v>278</v>
      </c>
      <c r="D7" s="1" t="s">
        <v>279</v>
      </c>
      <c r="E7" s="1" t="s">
        <v>280</v>
      </c>
      <c r="F7" s="1" t="s">
        <v>281</v>
      </c>
      <c r="G7" s="1" t="s">
        <v>282</v>
      </c>
      <c r="H7" s="1" t="s">
        <v>283</v>
      </c>
    </row>
    <row r="8" customFormat="false" ht="14.25" hidden="false" customHeight="true" outlineLevel="0" collapsed="false">
      <c r="A8" s="1" t="s">
        <v>284</v>
      </c>
      <c r="B8" s="1" t="s">
        <v>285</v>
      </c>
      <c r="C8" s="1" t="s">
        <v>286</v>
      </c>
      <c r="D8" s="1" t="s">
        <v>287</v>
      </c>
      <c r="E8" s="1" t="s">
        <v>288</v>
      </c>
      <c r="F8" s="1" t="s">
        <v>289</v>
      </c>
      <c r="G8" s="1" t="s">
        <v>290</v>
      </c>
      <c r="H8" s="1" t="s">
        <v>291</v>
      </c>
    </row>
    <row r="9" customFormat="false" ht="14.25" hidden="false" customHeight="true" outlineLevel="0" collapsed="false">
      <c r="A9" s="1" t="s">
        <v>292</v>
      </c>
      <c r="B9" s="1" t="s">
        <v>293</v>
      </c>
      <c r="C9" s="1" t="s">
        <v>294</v>
      </c>
      <c r="D9" s="1" t="s">
        <v>295</v>
      </c>
      <c r="E9" s="1" t="s">
        <v>296</v>
      </c>
      <c r="F9" s="1" t="s">
        <v>297</v>
      </c>
      <c r="G9" s="1" t="s">
        <v>298</v>
      </c>
      <c r="H9" s="1" t="s">
        <v>299</v>
      </c>
    </row>
    <row r="10" customFormat="false" ht="14.25" hidden="false" customHeight="true" outlineLevel="0" collapsed="false">
      <c r="A10" s="1" t="s">
        <v>292</v>
      </c>
      <c r="B10" s="1" t="s">
        <v>300</v>
      </c>
      <c r="C10" s="1" t="s">
        <v>301</v>
      </c>
      <c r="D10" s="1" t="s">
        <v>302</v>
      </c>
      <c r="E10" s="1" t="s">
        <v>303</v>
      </c>
      <c r="F10" s="1" t="s">
        <v>304</v>
      </c>
      <c r="G10" s="1" t="s">
        <v>305</v>
      </c>
      <c r="H10" s="1" t="s">
        <v>306</v>
      </c>
    </row>
    <row r="11" customFormat="false" ht="14.25" hidden="false" customHeight="true" outlineLevel="0" collapsed="false">
      <c r="A11" s="1" t="s">
        <v>292</v>
      </c>
      <c r="B11" s="1" t="s">
        <v>307</v>
      </c>
      <c r="C11" s="1" t="s">
        <v>308</v>
      </c>
      <c r="D11" s="1" t="s">
        <v>309</v>
      </c>
      <c r="E11" s="1" t="s">
        <v>310</v>
      </c>
      <c r="F11" s="1" t="s">
        <v>311</v>
      </c>
      <c r="G11" s="1" t="s">
        <v>312</v>
      </c>
      <c r="H11" s="1" t="s">
        <v>308</v>
      </c>
    </row>
    <row r="12" customFormat="false" ht="14.25" hidden="false" customHeight="true" outlineLevel="0" collapsed="false">
      <c r="A12" s="1" t="s">
        <v>292</v>
      </c>
      <c r="B12" s="1" t="s">
        <v>313</v>
      </c>
      <c r="C12" s="1" t="s">
        <v>314</v>
      </c>
      <c r="D12" s="1" t="s">
        <v>315</v>
      </c>
      <c r="E12" s="1" t="s">
        <v>316</v>
      </c>
      <c r="F12" s="1" t="s">
        <v>317</v>
      </c>
      <c r="G12" s="1" t="s">
        <v>315</v>
      </c>
      <c r="H12" s="1" t="s">
        <v>318</v>
      </c>
    </row>
    <row r="13" customFormat="false" ht="14.25" hidden="false" customHeight="true" outlineLevel="0" collapsed="false">
      <c r="A13" s="1" t="s">
        <v>319</v>
      </c>
      <c r="B13" s="1" t="s">
        <v>320</v>
      </c>
      <c r="C13" s="1" t="s">
        <v>321</v>
      </c>
      <c r="D13" s="1" t="s">
        <v>322</v>
      </c>
      <c r="E13" s="1" t="s">
        <v>323</v>
      </c>
      <c r="F13" s="1" t="s">
        <v>324</v>
      </c>
      <c r="G13" s="1" t="s">
        <v>325</v>
      </c>
      <c r="H13" s="1" t="s">
        <v>326</v>
      </c>
    </row>
    <row r="14" customFormat="false" ht="14.25" hidden="false" customHeight="true" outlineLevel="0" collapsed="false">
      <c r="A14" s="1" t="s">
        <v>319</v>
      </c>
      <c r="B14" s="1" t="s">
        <v>327</v>
      </c>
      <c r="C14" s="1" t="s">
        <v>328</v>
      </c>
      <c r="D14" s="1" t="s">
        <v>329</v>
      </c>
      <c r="E14" s="1" t="s">
        <v>330</v>
      </c>
      <c r="F14" s="1" t="s">
        <v>331</v>
      </c>
      <c r="G14" s="1" t="s">
        <v>332</v>
      </c>
      <c r="H14" s="1" t="s">
        <v>333</v>
      </c>
    </row>
    <row r="15" customFormat="false" ht="14.25" hidden="false" customHeight="true" outlineLevel="0" collapsed="false">
      <c r="A15" s="1" t="s">
        <v>319</v>
      </c>
      <c r="B15" s="1" t="s">
        <v>334</v>
      </c>
      <c r="C15" s="1" t="s">
        <v>335</v>
      </c>
      <c r="D15" s="1" t="s">
        <v>336</v>
      </c>
      <c r="E15" s="1" t="s">
        <v>337</v>
      </c>
      <c r="F15" s="1" t="s">
        <v>338</v>
      </c>
      <c r="G15" s="1" t="s">
        <v>336</v>
      </c>
      <c r="H15" s="1" t="s">
        <v>339</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AND(OR(A1="audio",LEFT(A1,7)="audio::",A1="image",LEFT(A1,7)="image::",A1="label",LEFT(A1,7)="label::",A1="video",LEFT(A1,7)="video::"),COUNTA(A$2:A$1015)=0)</formula>
    </cfRule>
    <cfRule type="expression" priority="4" aboveAverage="0" equalAverage="0" bottom="0" percent="0" rank="0" text="" dxfId="45">
      <formula>AND(A1&lt;&gt;"",COUNTA(A$2:A$1015)=0)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15">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4.4453125" defaultRowHeight="15" customHeight="false" zeroHeight="false" outlineLevelRow="0" outlineLevelCol="0"/>
  <cols>
    <col collapsed="false" customWidth="true" hidden="false" outlineLevel="0" max="1" min="1" style="1" width="11.03"/>
    <col collapsed="false" customWidth="true" hidden="false" outlineLevel="0" max="2" min="2" style="1" width="20"/>
    <col collapsed="false" customWidth="true" hidden="false" outlineLevel="0" max="3" min="3" style="3" width="7.67"/>
    <col collapsed="false" customWidth="true" hidden="false" outlineLevel="0" max="4" min="4" style="1" width="32.03"/>
    <col collapsed="false" customWidth="true" hidden="false" outlineLevel="0" max="13" min="5" style="1" width="7.67"/>
    <col collapsed="false" customWidth="true" hidden="false" outlineLevel="0" max="24" min="14" style="1" width="15.11"/>
    <col collapsed="false" customWidth="true" hidden="false" outlineLevel="0" max="16384" min="16383" style="0" width="11.53"/>
  </cols>
  <sheetData>
    <row r="1" customFormat="false" ht="14.25" hidden="false" customHeight="true" outlineLevel="0" collapsed="false">
      <c r="A1" s="1" t="s">
        <v>340</v>
      </c>
      <c r="B1" s="1" t="s">
        <v>341</v>
      </c>
      <c r="C1" s="3" t="s">
        <v>342</v>
      </c>
      <c r="D1" s="1" t="s">
        <v>343</v>
      </c>
    </row>
    <row r="2" customFormat="false" ht="14.25" hidden="false" customHeight="true" outlineLevel="0" collapsed="false">
      <c r="A2" s="1" t="s">
        <v>344</v>
      </c>
      <c r="B2" s="1" t="str">
        <f aca="true">TEXT(NOW(), "yyyy-mm-dd_HH-MM")</f>
        <v>2026-09-24  14-18</v>
      </c>
      <c r="C2" s="3" t="s">
        <v>345</v>
      </c>
      <c r="D2" s="1" t="s">
        <v>346</v>
      </c>
    </row>
  </sheetData>
  <conditionalFormatting sqref="A1:BC1">
    <cfRule type="expression" priority="2" aboveAverage="0" equalAverage="0" bottom="0" percent="0" rank="0" text="" dxfId="49">
      <formula>AND(A1&lt;&gt;"",COUNTIF($A$1:$BC$1,A1)&gt;1)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C2:C1002">
    <cfRule type="expression" priority="6" aboveAverage="0" equalAverage="0" bottom="0" percent="0" rank="0" text="" dxfId="53">
      <formula>AND(C2&lt;&gt;"",C2&lt;&gt;"pages")</formula>
    </cfRule>
  </conditionalFormatting>
  <conditionalFormatting sqref="A2:BC1002">
    <cfRule type="expression" priority="7" aboveAverage="0" equalAverage="0" bottom="0" percent="0" rank="0" text="" dxfId="54">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hyperlinks>
    <hyperlink ref="D2" r:id="rId2" display="https://communityhealthtoolkit.or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347</v>
      </c>
      <c r="C1" s="0" t="s">
        <v>348</v>
      </c>
      <c r="E1" s="0" t="s">
        <v>349</v>
      </c>
    </row>
    <row r="2" customFormat="false" ht="15" hidden="false" customHeight="false" outlineLevel="0" collapsed="false">
      <c r="A2" s="0" t="s">
        <v>0</v>
      </c>
      <c r="C2" s="0" t="s">
        <v>350</v>
      </c>
      <c r="E2" s="0" t="s">
        <v>351</v>
      </c>
    </row>
    <row r="3" customFormat="false" ht="15" hidden="false" customHeight="false" outlineLevel="0" collapsed="false">
      <c r="A3" s="0" t="s">
        <v>11</v>
      </c>
      <c r="C3" s="0" t="s">
        <v>352</v>
      </c>
      <c r="E3" s="0" t="s">
        <v>340</v>
      </c>
    </row>
    <row r="4" customFormat="false" ht="15" hidden="false" customHeight="false" outlineLevel="0" collapsed="false">
      <c r="A4" s="0" t="s">
        <v>350</v>
      </c>
      <c r="C4" s="0" t="s">
        <v>353</v>
      </c>
      <c r="E4" s="0" t="s">
        <v>343</v>
      </c>
    </row>
    <row r="5" customFormat="false" ht="15" hidden="false" customHeight="false" outlineLevel="0" collapsed="false">
      <c r="A5" s="0" t="s">
        <v>17</v>
      </c>
      <c r="C5" s="0" t="s">
        <v>242</v>
      </c>
      <c r="E5" s="0" t="s">
        <v>342</v>
      </c>
    </row>
    <row r="6" customFormat="false" ht="15" hidden="false" customHeight="false" outlineLevel="0" collapsed="false">
      <c r="A6" s="0" t="s">
        <v>354</v>
      </c>
      <c r="C6" s="0" t="s">
        <v>2</v>
      </c>
      <c r="E6" s="0" t="s">
        <v>341</v>
      </c>
    </row>
    <row r="7" customFormat="false" ht="15" hidden="false" customHeight="false" outlineLevel="0" collapsed="false">
      <c r="A7" s="0" t="s">
        <v>13</v>
      </c>
      <c r="C7" s="0" t="s">
        <v>355</v>
      </c>
    </row>
    <row r="8" customFormat="false" ht="15" hidden="false" customHeight="false" outlineLevel="0" collapsed="false">
      <c r="A8" s="0" t="s">
        <v>356</v>
      </c>
    </row>
    <row r="9" customFormat="false" ht="15" hidden="false" customHeight="false" outlineLevel="0" collapsed="false">
      <c r="A9" s="0" t="s">
        <v>19</v>
      </c>
    </row>
    <row r="10" customFormat="false" ht="15" hidden="false" customHeight="false" outlineLevel="0" collapsed="false">
      <c r="A10" s="0" t="s">
        <v>357</v>
      </c>
    </row>
    <row r="11" customFormat="false" ht="15" hidden="false" customHeight="false" outlineLevel="0" collapsed="false">
      <c r="A11" s="0" t="s">
        <v>352</v>
      </c>
    </row>
    <row r="12" customFormat="false" ht="15" hidden="false" customHeight="false" outlineLevel="0" collapsed="false">
      <c r="A12" s="0" t="s">
        <v>358</v>
      </c>
    </row>
    <row r="13" customFormat="false" ht="15" hidden="false" customHeight="false" outlineLevel="0" collapsed="false">
      <c r="A13" s="0" t="s">
        <v>359</v>
      </c>
    </row>
    <row r="14" customFormat="false" ht="15" hidden="false" customHeight="false" outlineLevel="0" collapsed="false">
      <c r="A14" s="0" t="s">
        <v>360</v>
      </c>
    </row>
    <row r="15" customFormat="false" ht="15" hidden="false" customHeight="false" outlineLevel="0" collapsed="false">
      <c r="A15" s="0" t="s">
        <v>361</v>
      </c>
    </row>
    <row r="16" customFormat="false" ht="15" hidden="false" customHeight="false" outlineLevel="0" collapsed="false">
      <c r="A16" s="0" t="s">
        <v>362</v>
      </c>
    </row>
    <row r="17" customFormat="false" ht="15" hidden="false" customHeight="false" outlineLevel="0" collapsed="false">
      <c r="A17" s="0" t="s">
        <v>363</v>
      </c>
    </row>
    <row r="18" customFormat="false" ht="15" hidden="false" customHeight="false" outlineLevel="0" collapsed="false">
      <c r="A18" s="0" t="s">
        <v>353</v>
      </c>
    </row>
    <row r="19" customFormat="false" ht="15" hidden="false" customHeight="false" outlineLevel="0" collapsed="false">
      <c r="A19" s="0" t="s">
        <v>2</v>
      </c>
    </row>
    <row r="20" customFormat="false" ht="15" hidden="false" customHeight="false" outlineLevel="0" collapsed="false">
      <c r="A20" s="0" t="s">
        <v>20</v>
      </c>
    </row>
    <row r="21" customFormat="false" ht="15" hidden="false" customHeight="false" outlineLevel="0" collapsed="false">
      <c r="A21" s="0" t="s">
        <v>364</v>
      </c>
    </row>
    <row r="22" customFormat="false" ht="15" hidden="false" customHeight="false" outlineLevel="0" collapsed="false">
      <c r="A22" s="0" t="s">
        <v>12</v>
      </c>
    </row>
    <row r="23" customFormat="false" ht="15" hidden="false" customHeight="false" outlineLevel="0" collapsed="false">
      <c r="A23" s="0" t="s">
        <v>10</v>
      </c>
    </row>
    <row r="24" customFormat="false" ht="15" hidden="false" customHeight="false" outlineLevel="0" collapsed="false">
      <c r="A24" s="0" t="s">
        <v>365</v>
      </c>
    </row>
    <row r="25" customFormat="false" ht="15" hidden="false" customHeight="false" outlineLevel="0" collapsed="false">
      <c r="A25" s="0" t="s">
        <v>9</v>
      </c>
    </row>
    <row r="26" customFormat="false" ht="15" hidden="false" customHeight="false" outlineLevel="0" collapsed="false">
      <c r="A26" s="0" t="s">
        <v>366</v>
      </c>
    </row>
    <row r="27" customFormat="false" ht="15" hidden="false" customHeight="false" outlineLevel="0" collapsed="false">
      <c r="A27" s="0" t="s">
        <v>367</v>
      </c>
    </row>
    <row r="28" customFormat="false" ht="15" hidden="false" customHeight="false" outlineLevel="0" collapsed="false">
      <c r="A28" s="0" t="s">
        <v>1</v>
      </c>
    </row>
    <row r="29" customFormat="false" ht="15" hidden="false" customHeight="false" outlineLevel="0" collapsed="false">
      <c r="A29" s="0" t="s">
        <v>355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2026-09-24T18:52:54Z</dcterms:created>
  <dc:creator>Unknown</dc:creator>
  <dc:description/>
  <dc:language>en-US</dc:language>
  <cp:lastModifiedBy/>
  <dcterms:modified xsi:type="dcterms:W3CDTF">2026-09-24T14:18:28Z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